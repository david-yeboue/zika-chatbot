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974a20e246fce4e/Documents/ECT/Portage salarial/"/>
    </mc:Choice>
  </mc:AlternateContent>
  <xr:revisionPtr revIDLastSave="0" documentId="13_ncr:13_{2348AAC1-6DDF-4E41-ACBD-19FF09096849}" xr6:coauthVersionLast="47" xr6:coauthVersionMax="47" xr10:uidLastSave="{00000000-0000-0000-0000-000000000000}"/>
  <bookViews>
    <workbookView xWindow="-108" yWindow="-108" windowWidth="23256" windowHeight="12456" xr2:uid="{D8D56E1B-0FFD-4D8B-AC49-27AAD18A50EE}"/>
  </bookViews>
  <sheets>
    <sheet name="Fiche" sheetId="1" r:id="rId1"/>
    <sheet name="Calcu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2" l="1"/>
  <c r="P9" i="2"/>
  <c r="P10" i="2"/>
  <c r="P11" i="2"/>
  <c r="P12" i="2"/>
  <c r="P13" i="2"/>
  <c r="P14" i="2"/>
  <c r="P15" i="2"/>
  <c r="P16" i="2"/>
  <c r="P17" i="2"/>
  <c r="P18" i="2"/>
  <c r="P19" i="2"/>
  <c r="O8" i="2"/>
  <c r="O9" i="2"/>
  <c r="O10" i="2"/>
  <c r="O11" i="2"/>
  <c r="O12" i="2"/>
  <c r="O13" i="2"/>
  <c r="O14" i="2"/>
  <c r="O15" i="2"/>
  <c r="O16" i="2"/>
  <c r="O17" i="2"/>
  <c r="O18" i="2"/>
  <c r="O19" i="2"/>
  <c r="N8" i="2"/>
  <c r="N9" i="2"/>
  <c r="N10" i="2"/>
  <c r="N11" i="2"/>
  <c r="N12" i="2"/>
  <c r="N13" i="2"/>
  <c r="N14" i="2"/>
  <c r="N15" i="2"/>
  <c r="N16" i="2"/>
  <c r="N17" i="2"/>
  <c r="N18" i="2"/>
  <c r="N19" i="2"/>
  <c r="M8" i="2"/>
  <c r="M9" i="2"/>
  <c r="M10" i="2"/>
  <c r="M11" i="2"/>
  <c r="M12" i="2"/>
  <c r="M13" i="2"/>
  <c r="M14" i="2"/>
  <c r="M15" i="2"/>
  <c r="M16" i="2"/>
  <c r="M17" i="2"/>
  <c r="M18" i="2"/>
  <c r="M19" i="2"/>
  <c r="L8" i="2"/>
  <c r="L9" i="2"/>
  <c r="L10" i="2"/>
  <c r="L11" i="2"/>
  <c r="L12" i="2"/>
  <c r="L13" i="2"/>
  <c r="L14" i="2"/>
  <c r="L15" i="2"/>
  <c r="L16" i="2"/>
  <c r="L17" i="2"/>
  <c r="L18" i="2"/>
  <c r="L19" i="2"/>
  <c r="K8" i="2"/>
  <c r="K9" i="2"/>
  <c r="K10" i="2"/>
  <c r="K11" i="2"/>
  <c r="K12" i="2"/>
  <c r="K13" i="2"/>
  <c r="K14" i="2"/>
  <c r="K15" i="2"/>
  <c r="K16" i="2"/>
  <c r="K17" i="2"/>
  <c r="K18" i="2"/>
  <c r="K19" i="2"/>
  <c r="Q8" i="2"/>
  <c r="Q9" i="2"/>
  <c r="Q10" i="2"/>
  <c r="Q11" i="2"/>
  <c r="Q12" i="2"/>
  <c r="Q13" i="2"/>
  <c r="Q14" i="2"/>
  <c r="Q15" i="2"/>
  <c r="Q16" i="2"/>
  <c r="Q17" i="2"/>
  <c r="Q18" i="2"/>
  <c r="Q19" i="2"/>
  <c r="J20" i="2"/>
  <c r="Y8" i="2"/>
  <c r="Y9" i="2"/>
  <c r="Y10" i="2"/>
  <c r="Y11" i="2"/>
  <c r="Y12" i="2"/>
  <c r="Y13" i="2"/>
  <c r="Y14" i="2"/>
  <c r="Y15" i="2"/>
  <c r="Y16" i="2"/>
  <c r="Y17" i="2"/>
  <c r="Y18" i="2"/>
  <c r="Y19" i="2"/>
  <c r="X8" i="2"/>
  <c r="X9" i="2"/>
  <c r="X10" i="2"/>
  <c r="X11" i="2"/>
  <c r="X12" i="2"/>
  <c r="X13" i="2"/>
  <c r="X14" i="2"/>
  <c r="X15" i="2"/>
  <c r="X16" i="2"/>
  <c r="X17" i="2"/>
  <c r="X18" i="2"/>
  <c r="X19" i="2"/>
  <c r="W8" i="2"/>
  <c r="W9" i="2"/>
  <c r="W10" i="2"/>
  <c r="W11" i="2"/>
  <c r="W12" i="2"/>
  <c r="W13" i="2"/>
  <c r="W14" i="2"/>
  <c r="W15" i="2"/>
  <c r="W16" i="2"/>
  <c r="W17" i="2"/>
  <c r="W18" i="2"/>
  <c r="W19" i="2"/>
  <c r="V8" i="2"/>
  <c r="V9" i="2"/>
  <c r="V10" i="2"/>
  <c r="V11" i="2"/>
  <c r="V12" i="2"/>
  <c r="V13" i="2"/>
  <c r="V14" i="2"/>
  <c r="V15" i="2"/>
  <c r="V16" i="2"/>
  <c r="V17" i="2"/>
  <c r="V18" i="2"/>
  <c r="V19" i="2"/>
  <c r="X20" i="2" l="1"/>
  <c r="W20" i="2"/>
  <c r="V20" i="2"/>
  <c r="Y20" i="2"/>
  <c r="Q20" i="2"/>
  <c r="U8" i="2" l="1"/>
  <c r="U9" i="2"/>
  <c r="U10" i="2"/>
  <c r="U11" i="2"/>
  <c r="U12" i="2"/>
  <c r="U13" i="2"/>
  <c r="U14" i="2"/>
  <c r="U15" i="2"/>
  <c r="U16" i="2"/>
  <c r="U17" i="2"/>
  <c r="U18" i="2"/>
  <c r="U19" i="2"/>
  <c r="T8" i="2"/>
  <c r="T9" i="2"/>
  <c r="T10" i="2"/>
  <c r="T11" i="2"/>
  <c r="T12" i="2"/>
  <c r="T13" i="2"/>
  <c r="T14" i="2"/>
  <c r="T15" i="2"/>
  <c r="T16" i="2"/>
  <c r="T17" i="2"/>
  <c r="T18" i="2"/>
  <c r="T19" i="2"/>
  <c r="R8" i="2"/>
  <c r="S10" i="2"/>
  <c r="S11" i="2"/>
  <c r="S12" i="2"/>
  <c r="S13" i="2"/>
  <c r="S14" i="2"/>
  <c r="S15" i="2"/>
  <c r="S16" i="2"/>
  <c r="S17" i="2"/>
  <c r="S18" i="2"/>
  <c r="S19" i="2"/>
  <c r="S9" i="2"/>
  <c r="S8" i="2"/>
  <c r="R9" i="2"/>
  <c r="R10" i="2"/>
  <c r="R11" i="2"/>
  <c r="R12" i="2"/>
  <c r="R13" i="2"/>
  <c r="R14" i="2"/>
  <c r="R15" i="2"/>
  <c r="R16" i="2"/>
  <c r="R17" i="2"/>
  <c r="R18" i="2"/>
  <c r="R19" i="2"/>
  <c r="P20" i="2"/>
  <c r="O20" i="2"/>
  <c r="N20" i="2"/>
  <c r="M20" i="2"/>
  <c r="L20" i="2"/>
  <c r="D11" i="1"/>
  <c r="D12" i="1"/>
  <c r="D13" i="1"/>
  <c r="D14" i="1"/>
  <c r="D15" i="1"/>
  <c r="D16" i="1"/>
  <c r="D17" i="1"/>
  <c r="D18" i="1"/>
  <c r="D19" i="1"/>
  <c r="D20" i="1"/>
  <c r="D21" i="1"/>
  <c r="D22" i="1"/>
  <c r="S20" i="2" l="1"/>
  <c r="R20" i="2"/>
  <c r="T20" i="2"/>
  <c r="U20" i="2"/>
  <c r="K20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tc={48953AD2-EAD2-45F8-B2FF-BCE5AEC06FD7}</author>
    <author>tc={95806293-23F2-46AC-B6F6-D3E36AA9D7E4}</author>
    <author>tc={EB7286E4-1519-4BC7-A4D1-6781E0176EB9}</author>
    <author>tc={988C9649-42E1-47C4-BB42-B06C89ADC744}</author>
  </authors>
  <commentList>
    <comment ref="C7" authorId="0" shapeId="0" xr:uid="{48953AD2-EAD2-45F8-B2FF-BCE5AEC06FD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nom de votre entreprise</t>
      </text>
    </comment>
    <comment ref="I7" authorId="1" shapeId="0" xr:uid="{95806293-23F2-46AC-B6F6-D3E36AA9D7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pays dans lequel le contrat de travail s’exécutera</t>
      </text>
    </comment>
    <comment ref="G10" authorId="2" shapeId="0" xr:uid="{EB7286E4-1519-4BC7-A4D1-6781E0176E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L’employé dispose-t-il d’un numéro CNPS?</t>
      </text>
    </comment>
    <comment ref="H10" authorId="3" shapeId="0" xr:uid="{988C9649-42E1-47C4-BB42-B06C89ADC74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taux de couverture souhaité.</t>
      </text>
    </comment>
  </commentList>
</comments>
</file>

<file path=xl/sharedStrings.xml><?xml version="1.0" encoding="utf-8"?>
<sst xmlns="http://schemas.openxmlformats.org/spreadsheetml/2006/main" count="40" uniqueCount="37">
  <si>
    <t>FICHE DE RENSEIGNEMENT - PORTAGE SALARIAL</t>
  </si>
  <si>
    <t>Entreprise:</t>
  </si>
  <si>
    <t>Ordre</t>
  </si>
  <si>
    <t>Situation matrimoniale</t>
  </si>
  <si>
    <t>Nombre d'enfants</t>
  </si>
  <si>
    <t>N° CNPS (facultatif)</t>
  </si>
  <si>
    <t>Assurance-maladie</t>
  </si>
  <si>
    <t>Autres (frais VISA en CI, hébergement, etc)</t>
  </si>
  <si>
    <t>Intitulé du poste</t>
  </si>
  <si>
    <t>Salaire net à percevoir (XOF)</t>
  </si>
  <si>
    <t>Salaire net à percevoir (EUR)</t>
  </si>
  <si>
    <t>Pays:</t>
  </si>
  <si>
    <t>Date début Contrat</t>
  </si>
  <si>
    <t>Date fin Contrat</t>
  </si>
  <si>
    <t>Nombre de parts</t>
  </si>
  <si>
    <t>Jr trav</t>
  </si>
  <si>
    <t>Sal CAT</t>
  </si>
  <si>
    <t>Sursal</t>
  </si>
  <si>
    <t>P. Anc.</t>
  </si>
  <si>
    <t>0 à 75000</t>
  </si>
  <si>
    <t>75001 à 240000</t>
  </si>
  <si>
    <t>240001 à 800000</t>
  </si>
  <si>
    <t>800001 à 2400000</t>
  </si>
  <si>
    <t>2400001 à 8000000</t>
  </si>
  <si>
    <t>&gt;8000000</t>
  </si>
  <si>
    <t xml:space="preserve">Tranche </t>
  </si>
  <si>
    <t>Sal_Brut</t>
  </si>
  <si>
    <t>CNPS_Employeur</t>
  </si>
  <si>
    <t>CNPS_Travailleur</t>
  </si>
  <si>
    <t>CMU_Travailleur</t>
  </si>
  <si>
    <t>CMU_Employeur</t>
  </si>
  <si>
    <t>Categ_prof</t>
  </si>
  <si>
    <t>Taxe apprentissage</t>
  </si>
  <si>
    <t>Taxe FPC</t>
  </si>
  <si>
    <t>Acc Travail</t>
  </si>
  <si>
    <t>Prest Fam</t>
  </si>
  <si>
    <t>Credit_Impot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</si>
</sst>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64" formatCode="_-* #,##0.00_-;\-* #,##0.00_-;_-* &quot;-&quot;_-;_-@_-"/>
    <numFmt numFmtId="165" formatCode="[$-1300C]dd/mm/yyyy;@"/>
    <numFmt numFmtId="166" formatCode="_-* #,##0_-;\-* #,##0_-;_-* &quot;-&quot;??_-;_-@"/>
    <numFmt numFmtId="167" formatCode="0.00_ ;[Red]\-0.00\ 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10"/>
      <color rgb="FFFFFF00"/>
      <name val="Arial"/>
      <family val="2"/>
    </font>
    <font>
      <sz val="10"/>
      <color theme="1"/>
      <name val="Aptos Narrow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1" applyNumberFormat="1" applyFont="1" applyBorder="1" applyAlignment="1">
      <alignment vertical="center"/>
    </xf>
    <xf numFmtId="164" fontId="0" fillId="0" borderId="8" xfId="1" applyNumberFormat="1" applyFont="1" applyBorder="1" applyAlignment="1">
      <alignment vertical="center"/>
    </xf>
    <xf numFmtId="165" fontId="0" fillId="0" borderId="3" xfId="0" applyNumberFormat="1" applyBorder="1" applyAlignment="1">
      <alignment vertical="center"/>
    </xf>
    <xf numFmtId="165" fontId="0" fillId="0" borderId="9" xfId="0" applyNumberFormat="1" applyBorder="1" applyAlignment="1">
      <alignment vertical="center"/>
    </xf>
    <xf numFmtId="9" fontId="4" fillId="2" borderId="20" xfId="0" applyNumberFormat="1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166" fontId="8" fillId="0" borderId="15" xfId="0" applyNumberFormat="1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167" fontId="8" fillId="0" borderId="14" xfId="0" applyNumberFormat="1" applyFont="1" applyBorder="1" applyAlignment="1">
      <alignment horizontal="center" vertical="center" wrapText="1"/>
    </xf>
    <xf numFmtId="167" fontId="8" fillId="0" borderId="16" xfId="0" applyNumberFormat="1" applyFont="1" applyBorder="1" applyAlignment="1">
      <alignment horizontal="center" vertical="center" wrapText="1"/>
    </xf>
    <xf numFmtId="167" fontId="8" fillId="0" borderId="13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10" fontId="5" fillId="0" borderId="0" xfId="0" applyNumberFormat="1" applyFon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41" fontId="5" fillId="0" borderId="5" xfId="1" applyFont="1" applyFill="1" applyBorder="1" applyAlignment="1">
      <alignment vertical="center"/>
    </xf>
    <xf numFmtId="41" fontId="5" fillId="0" borderId="1" xfId="1" applyFont="1" applyFill="1" applyBorder="1" applyAlignment="1">
      <alignment vertical="center"/>
    </xf>
    <xf numFmtId="41" fontId="5" fillId="0" borderId="8" xfId="1" applyFont="1" applyFill="1" applyBorder="1" applyAlignment="1">
      <alignment vertical="center"/>
    </xf>
    <xf numFmtId="41" fontId="5" fillId="0" borderId="0" xfId="1" applyFont="1" applyAlignment="1">
      <alignment vertical="center"/>
    </xf>
    <xf numFmtId="41" fontId="9" fillId="0" borderId="0" xfId="1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vertical="center"/>
    </xf>
    <xf numFmtId="0" fontId="7" fillId="0" borderId="19" xfId="0" applyFont="1" applyBorder="1" applyAlignment="1">
      <alignment vertical="center"/>
    </xf>
  </cellXfs>
  <cellStyles count="2">
    <cellStyle name="Milliers [0]" xfId="1" builtinId="6"/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8" formatCode="_(* #,##0_);_(* \(#,##0\);_(* &quot;-&quot;??_);_(@_)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300C]dd/mm/yyyy;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[$-1300C]dd/mm/yyyy;@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* #,##0.00_-;\-* #,##0.00_-;_-* &quot;-&quot;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uc BOHOULET" id="{1A06E817-45BC-4C3D-91E4-A8D3B3D6E328}" userId="2974a20e246fce4e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DEED84-BF24-4DBA-9EF1-66595C0F3988}" name="Tableau1" displayName="Tableau1" ref="A10:K22" totalsRowShown="0" headerRowDxfId="43" dataDxfId="41" headerRowBorderDxfId="42" tableBorderDxfId="40" totalsRowBorderDxfId="39">
  <autoFilter ref="A10:K22" xr:uid="{06DEED84-BF24-4DBA-9EF1-66595C0F3988}"/>
  <tableColumns count="11">
    <tableColumn id="1" xr3:uid="{CDD65C80-D94C-4CF7-BC8B-7A70F00387EA}" name="Ordre" dataDxfId="38"/>
    <tableColumn id="2" xr3:uid="{3DE7E1AB-6323-4F93-91D3-0F796DAC820D}" name="Intitulé du poste" dataDxfId="37"/>
    <tableColumn id="3" xr3:uid="{28A8DF54-403A-4C66-8FF9-18CAC86980DE}" name="Salaire net à percevoir (XOF)" dataDxfId="36"/>
    <tableColumn id="4" xr3:uid="{4EC11258-410B-437D-808D-2E5D531F9225}" name="Salaire net à percevoir (EUR)" dataDxfId="35" dataCellStyle="Milliers [0]">
      <calculatedColumnFormula>+IF(ISBLANK(Tableau1[[#This Row],[Salaire net à percevoir (XOF)]]),"",Tableau1[[#This Row],[Salaire net à percevoir (XOF)]]/655.957)</calculatedColumnFormula>
    </tableColumn>
    <tableColumn id="6" xr3:uid="{2D8C466B-37EA-4F90-AF05-C8D80C2553A5}" name="Situation matrimoniale" dataDxfId="34"/>
    <tableColumn id="7" xr3:uid="{0C80E556-45A3-4B26-85C6-AA8ABD403DF8}" name="Nombre d'enfants" dataDxfId="33"/>
    <tableColumn id="8" xr3:uid="{845BA2DA-F6EA-40A9-9F64-0279BDF8C59C}" name="N° CNPS (facultatif)" dataDxfId="32"/>
    <tableColumn id="9" xr3:uid="{73043902-9815-4158-BDE1-0D44C4129864}" name="Assurance-maladie" dataDxfId="31"/>
    <tableColumn id="12" xr3:uid="{4B459715-D17C-4668-9B17-596F3363D7B9}" name="Date début Contrat" dataDxfId="30"/>
    <tableColumn id="11" xr3:uid="{72A71262-3391-4B74-9114-C950E8506E0B}" name="Date fin Contrat" dataDxfId="29"/>
    <tableColumn id="10" xr3:uid="{E2F20DB3-C5A9-42EA-A955-04B1152B229E}" name="Autres (frais VISA en CI, hébergement, etc)" dataDxfId="2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5E64ED-03BB-4FB2-A4F4-1E607B9E1EE0}" name="Calcul_Charges" displayName="Calcul_Charges" ref="A7:Y19" totalsRowShown="0" headerRowDxfId="27" dataDxfId="26" tableBorderDxfId="25">
  <autoFilter ref="A7:Y19" xr:uid="{D24DE5C7-6223-4B2F-92B1-A00AEEA2DB32}"/>
  <tableColumns count="25">
    <tableColumn id="1" xr3:uid="{F3712BC1-19F5-42F0-B9F7-1E735FEC7F48}" name="Ordre" dataDxfId="24"/>
    <tableColumn id="2" xr3:uid="{BF5B0BCE-71D8-4EC6-AE20-C651728EA232}" name="Intitulé du poste" dataDxfId="23"/>
    <tableColumn id="3" xr3:uid="{C2B6FF52-DF36-48C1-BAC1-04F3005AD520}" name="Salaire net à percevoir (XOF)" dataDxfId="22"/>
    <tableColumn id="4" xr3:uid="{D93B3470-86FF-4F47-AF7E-9287A104F04B}" name="Nombre de parts" dataDxfId="21"/>
    <tableColumn id="5" xr3:uid="{5154E5E0-98F5-4F2E-9278-F31A679CB0AB}" name="Categ_prof" dataDxfId="20"/>
    <tableColumn id="6" xr3:uid="{4B705884-CA0B-45B6-A2D7-9129978164A4}" name="Jr trav" dataDxfId="19"/>
    <tableColumn id="7" xr3:uid="{282BE6FD-C503-4064-B1CF-D59E18D149BE}" name="Sal CAT" dataDxfId="18" dataCellStyle="Milliers [0]"/>
    <tableColumn id="8" xr3:uid="{1B7EE6F5-8693-4B06-AF0A-5D4CC96C8957}" name="Sursal" dataDxfId="17" dataCellStyle="Milliers [0]"/>
    <tableColumn id="9" xr3:uid="{7810EF53-FB6F-456A-9AF9-4D3301ED2E8B}" name="P. Anc." dataDxfId="16" dataCellStyle="Milliers [0]"/>
    <tableColumn id="10" xr3:uid="{5098AC87-2265-4939-B09B-277FFD18F6F4}" name="Sal_Brut" dataDxfId="15" dataCellStyle="Milliers [0]"/>
    <tableColumn id="11" xr3:uid="{944877B6-5806-4FC2-9148-1E86A6BB8E8A}" name="0 à 75000" dataDxfId="14" dataCellStyle="Milliers [0]">
      <calculatedColumnFormula>IF(Calcul_Charges[[#This Row],[Sal_Brut]]&lt;75000,Calcul_Charges[[#This Row],[Sal_Brut]]*$K$6,0)</calculatedColumnFormula>
    </tableColumn>
    <tableColumn id="12" xr3:uid="{83B5F164-14F4-4B20-8EC5-39C8C1ED0D2C}" name="75001 à 240000" dataDxfId="13" dataCellStyle="Milliers [0]">
      <calculatedColumnFormula>IF(Calcul_Charges[[#This Row],[Sal_Brut]]="","",IF(Calcul_Charges[[#This Row],[Sal_Brut]]&gt;240000,(240000-75001)*$L$6,(Calcul_Charges[[#This Row],[Sal_Brut]]-75001)*$L$6))</calculatedColumnFormula>
    </tableColumn>
    <tableColumn id="13" xr3:uid="{06E4F0C1-6555-47CE-83A4-6DB400F8D6F8}" name="240001 à 800000" dataDxfId="12" dataCellStyle="Milliers [0]">
      <calculatedColumnFormula>IF(Calcul_Charges[[#This Row],[Sal_Brut]]&gt;800000,(800000-240001)*$M$6,IF(Calcul_Charges[[#This Row],[Sal_Brut]]&gt;240001,(Calcul_Charges[[#This Row],[Sal_Brut]]-240001)*$M$6,0))</calculatedColumnFormula>
    </tableColumn>
    <tableColumn id="14" xr3:uid="{BD8E9529-3A2E-4430-B0CF-DB1753F86C34}" name="800001 à 2400000" dataDxfId="11" dataCellStyle="Milliers [0]">
      <calculatedColumnFormula>IF(Calcul_Charges[[#This Row],[Sal_Brut]]&gt;2400000,(2400000-800001)*$N$6,IF(Calcul_Charges[[#This Row],[Sal_Brut]]&gt;800001,(Calcul_Charges[[#This Row],[Sal_Brut]]-800001)*$N$6,0))</calculatedColumnFormula>
    </tableColumn>
    <tableColumn id="15" xr3:uid="{BCA78011-0994-4C53-87AE-3588131ED892}" name="2400001 à 8000000" dataDxfId="10" dataCellStyle="Milliers [0]">
      <calculatedColumnFormula>IF(Calcul_Charges[[#This Row],[Sal_Brut]]&gt;8000000,(8000000-2400001)*$O$6,IF(Calcul_Charges[[#This Row],[Sal_Brut]]&gt;2400001,(Calcul_Charges[[#This Row],[Sal_Brut]]-2400001)*$O$6,0))</calculatedColumnFormula>
    </tableColumn>
    <tableColumn id="16" xr3:uid="{7763E1F3-D2A1-492E-92E8-FD9996A9E27A}" name="&gt;8000000" dataDxfId="9" dataCellStyle="Milliers [0]">
      <calculatedColumnFormula>IF(Calcul_Charges[[#This Row],[Sal_Brut]]&gt;8000001,(Calcul_Charges[[#This Row],[Sal_Brut]]-8000001)*$P$6,0)</calculatedColumnFormula>
    </tableColumn>
    <tableColumn id="25" xr3:uid="{C93E06E8-E11C-492A-878B-2F35BC2CBA5E}" name="Credit_Impot" dataDxfId="8" dataCellStyle="Milliers [0]">
      <calculatedColumnFormula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calculatedColumnFormula>
    </tableColumn>
    <tableColumn id="17" xr3:uid="{4D60BE56-02AC-421D-B975-138B9768A8FA}" name="CNPS_Travailleur" dataDxfId="7" dataCellStyle="Milliers [0]">
      <calculatedColumnFormula>+Calcul_Charges[[#This Row],[Sal_Brut]]*6.3%</calculatedColumnFormula>
    </tableColumn>
    <tableColumn id="18" xr3:uid="{29266E0F-2415-42B0-A31A-00C95C84453D}" name="CMU_Travailleur" dataDxfId="6" dataCellStyle="Milliers [0]"/>
    <tableColumn id="19" xr3:uid="{C4FD0E06-FF7E-45F1-BBDE-CA8222F40D32}" name="CNPS_Employeur" dataDxfId="5" dataCellStyle="Milliers [0]">
      <calculatedColumnFormula>+Calcul_Charges[[#This Row],[Sal_Brut]]*7.7%</calculatedColumnFormula>
    </tableColumn>
    <tableColumn id="20" xr3:uid="{309E717A-2014-4D5E-9F9A-CA2107C8BCBB}" name="CMU_Employeur" dataDxfId="4" dataCellStyle="Milliers [0]">
      <calculatedColumnFormula>IF(ISBLANK(Calcul_Charges[[#This Row],[Sal_Brut]]),0,1500)</calculatedColumnFormula>
    </tableColumn>
    <tableColumn id="21" xr3:uid="{BCB8F615-F6EE-4D6D-8CB6-3934653C144F}" name="Taxe apprentissage" dataDxfId="3" dataCellStyle="Milliers [0]">
      <calculatedColumnFormula>+Calcul_Charges[[#This Row],[Sal_Brut]]*$V$6</calculatedColumnFormula>
    </tableColumn>
    <tableColumn id="22" xr3:uid="{1E7A4731-C090-4F36-A603-64A1DEBB2D46}" name="Taxe FPC" dataDxfId="2" dataCellStyle="Milliers [0]">
      <calculatedColumnFormula>Calcul_Charges[[#This Row],[Sal_Brut]]*$W$6</calculatedColumnFormula>
    </tableColumn>
    <tableColumn id="23" xr3:uid="{158A12A3-8463-4F3F-A7B7-F1413FCD2464}" name="Acc Travail" dataDxfId="1" dataCellStyle="Milliers [0]">
      <calculatedColumnFormula>Calcul_Charges[[#This Row],[Sal_Brut]]*$X$6</calculatedColumnFormula>
    </tableColumn>
    <tableColumn id="24" xr3:uid="{28FC5498-F8E2-482F-855A-C38E1AB199E1}" name="Prest Fam" dataDxfId="0" dataCellStyle="Milliers [0]">
      <calculatedColumnFormula>Calcul_Charges[[#This Row],[Sal_Brut]]*$Y$6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4-10-23T10:31:00.61" personId="{1A06E817-45BC-4C3D-91E4-A8D3B3D6E328}" id="{48953AD2-EAD2-45F8-B2FF-BCE5AEC06FD7}">
    <text>Indiquez le nom de votre entreprise</text>
  </threadedComment>
  <threadedComment ref="I7" dT="2025-06-16T16:31:28.77" personId="{1A06E817-45BC-4C3D-91E4-A8D3B3D6E328}" id="{95806293-23F2-46AC-B6F6-D3E36AA9D7E4}">
    <text>Indiquez le pays dans lequel le contrat de travail s’exécutera</text>
  </threadedComment>
  <threadedComment ref="G10" dT="2024-10-23T10:19:33.18" personId="{1A06E817-45BC-4C3D-91E4-A8D3B3D6E328}" id="{EB7286E4-1519-4BC7-A4D1-6781E0176EB9}">
    <text>L’employé dispose-t-il d’un numéro CNPS?</text>
  </threadedComment>
  <threadedComment ref="H10" dT="2024-10-23T10:20:14.50" personId="{1A06E817-45BC-4C3D-91E4-A8D3B3D6E328}" id="{988C9649-42E1-47C4-BB42-B06C89ADC744}">
    <text>Indiquez le taux de couverture souhaité.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556A1-FAFC-4FA7-A85D-08B7278A5C95}">
  <dimension ref="A4:K22"/>
  <sheetViews>
    <sheetView tabSelected="1" zoomScale="90" zoomScaleNormal="90" workbookViewId="0">
      <selection activeCell="I11" sqref="I11"/>
    </sheetView>
  </sheetViews>
  <sheetFormatPr baseColWidth="10" defaultRowHeight="14.4" x14ac:dyDescent="0.3"/>
  <cols>
    <col min="1" max="1" width="6.88671875" style="1" customWidth="1"/>
    <col min="2" max="2" width="21.6640625" style="1" customWidth="1"/>
    <col min="3" max="3" width="11.6640625" style="1" customWidth="1"/>
    <col min="4" max="4" width="11.5546875" style="1" customWidth="1"/>
    <col min="5" max="5" width="13.33203125" style="1" customWidth="1"/>
    <col min="6" max="6" width="9.6640625" style="1" customWidth="1"/>
    <col min="7" max="7" width="12.5546875" style="1" customWidth="1"/>
    <col min="8" max="8" width="16.33203125" style="1" customWidth="1"/>
    <col min="9" max="10" width="10.88671875" style="1" customWidth="1"/>
    <col min="11" max="11" width="26.5546875" style="1" customWidth="1"/>
    <col min="12" max="16384" width="11.5546875" style="1"/>
  </cols>
  <sheetData>
    <row r="4" spans="1:11" ht="18" x14ac:dyDescent="0.3">
      <c r="D4" s="48" t="s">
        <v>0</v>
      </c>
      <c r="E4" s="48"/>
      <c r="F4" s="48"/>
      <c r="G4" s="48"/>
      <c r="H4" s="48"/>
      <c r="I4" s="48"/>
    </row>
    <row r="7" spans="1:11" x14ac:dyDescent="0.3">
      <c r="B7" s="12" t="s">
        <v>1</v>
      </c>
      <c r="C7" s="49"/>
      <c r="D7" s="51"/>
      <c r="E7" s="50"/>
      <c r="H7" s="12" t="s">
        <v>11</v>
      </c>
      <c r="I7" s="49"/>
      <c r="J7" s="50"/>
    </row>
    <row r="10" spans="1:11" s="2" customFormat="1" ht="39.6" customHeight="1" x14ac:dyDescent="0.3">
      <c r="A10" s="6" t="s">
        <v>2</v>
      </c>
      <c r="B10" s="7" t="s">
        <v>8</v>
      </c>
      <c r="C10" s="7" t="s">
        <v>9</v>
      </c>
      <c r="D10" s="7" t="s">
        <v>10</v>
      </c>
      <c r="E10" s="7" t="s">
        <v>3</v>
      </c>
      <c r="F10" s="7" t="s">
        <v>4</v>
      </c>
      <c r="G10" s="7" t="s">
        <v>5</v>
      </c>
      <c r="H10" s="7" t="s">
        <v>6</v>
      </c>
      <c r="I10" s="8" t="s">
        <v>12</v>
      </c>
      <c r="J10" s="8" t="s">
        <v>13</v>
      </c>
      <c r="K10" s="8" t="s">
        <v>7</v>
      </c>
    </row>
    <row r="11" spans="1:11" ht="24" customHeight="1" x14ac:dyDescent="0.3">
      <c r="A11" s="4">
        <v>1</v>
      </c>
      <c r="B11" s="3"/>
      <c r="C11" s="3"/>
      <c r="D11" s="13" t="str">
        <f>+IF(ISBLANK(Tableau1[[#This Row],[Salaire net à percevoir (XOF)]]),"",Tableau1[[#This Row],[Salaire net à percevoir (XOF)]]/655.957)</f>
        <v/>
      </c>
      <c r="E11" s="3"/>
      <c r="F11" s="3"/>
      <c r="G11" s="3"/>
      <c r="H11" s="3"/>
      <c r="I11" s="15"/>
      <c r="J11" s="15"/>
      <c r="K11" s="5"/>
    </row>
    <row r="12" spans="1:11" ht="24" customHeight="1" x14ac:dyDescent="0.3">
      <c r="A12" s="4">
        <v>2</v>
      </c>
      <c r="B12" s="3"/>
      <c r="C12" s="3"/>
      <c r="D12" s="13" t="str">
        <f>+IF(ISBLANK(Tableau1[[#This Row],[Salaire net à percevoir (XOF)]]),"",Tableau1[[#This Row],[Salaire net à percevoir (XOF)]]/655.957)</f>
        <v/>
      </c>
      <c r="E12" s="3"/>
      <c r="F12" s="3"/>
      <c r="G12" s="3"/>
      <c r="H12" s="3"/>
      <c r="I12" s="15"/>
      <c r="J12" s="15"/>
      <c r="K12" s="5"/>
    </row>
    <row r="13" spans="1:11" ht="24" customHeight="1" x14ac:dyDescent="0.3">
      <c r="A13" s="4">
        <v>3</v>
      </c>
      <c r="B13" s="3"/>
      <c r="C13" s="3"/>
      <c r="D13" s="13" t="str">
        <f>+IF(ISBLANK(Tableau1[[#This Row],[Salaire net à percevoir (XOF)]]),"",Tableau1[[#This Row],[Salaire net à percevoir (XOF)]]/655.957)</f>
        <v/>
      </c>
      <c r="E13" s="3"/>
      <c r="F13" s="3"/>
      <c r="G13" s="3"/>
      <c r="H13" s="3"/>
      <c r="I13" s="15"/>
      <c r="J13" s="15"/>
      <c r="K13" s="5"/>
    </row>
    <row r="14" spans="1:11" ht="24" customHeight="1" x14ac:dyDescent="0.3">
      <c r="A14" s="4">
        <v>4</v>
      </c>
      <c r="B14" s="3"/>
      <c r="C14" s="3"/>
      <c r="D14" s="13" t="str">
        <f>+IF(ISBLANK(Tableau1[[#This Row],[Salaire net à percevoir (XOF)]]),"",Tableau1[[#This Row],[Salaire net à percevoir (XOF)]]/655.957)</f>
        <v/>
      </c>
      <c r="E14" s="3"/>
      <c r="F14" s="3"/>
      <c r="G14" s="3"/>
      <c r="H14" s="3"/>
      <c r="I14" s="15"/>
      <c r="J14" s="15"/>
      <c r="K14" s="5"/>
    </row>
    <row r="15" spans="1:11" ht="24" customHeight="1" x14ac:dyDescent="0.3">
      <c r="A15" s="4">
        <v>5</v>
      </c>
      <c r="B15" s="3"/>
      <c r="C15" s="3"/>
      <c r="D15" s="13" t="str">
        <f>+IF(ISBLANK(Tableau1[[#This Row],[Salaire net à percevoir (XOF)]]),"",Tableau1[[#This Row],[Salaire net à percevoir (XOF)]]/655.957)</f>
        <v/>
      </c>
      <c r="E15" s="3"/>
      <c r="F15" s="3"/>
      <c r="G15" s="3"/>
      <c r="H15" s="3"/>
      <c r="I15" s="15"/>
      <c r="J15" s="15"/>
      <c r="K15" s="5"/>
    </row>
    <row r="16" spans="1:11" ht="24" customHeight="1" x14ac:dyDescent="0.3">
      <c r="A16" s="4">
        <v>6</v>
      </c>
      <c r="B16" s="3"/>
      <c r="C16" s="3"/>
      <c r="D16" s="13" t="str">
        <f>+IF(ISBLANK(Tableau1[[#This Row],[Salaire net à percevoir (XOF)]]),"",Tableau1[[#This Row],[Salaire net à percevoir (XOF)]]/655.957)</f>
        <v/>
      </c>
      <c r="E16" s="3"/>
      <c r="F16" s="3"/>
      <c r="G16" s="3"/>
      <c r="H16" s="3"/>
      <c r="I16" s="15"/>
      <c r="J16" s="15"/>
      <c r="K16" s="5"/>
    </row>
    <row r="17" spans="1:11" ht="24" customHeight="1" x14ac:dyDescent="0.3">
      <c r="A17" s="4">
        <v>7</v>
      </c>
      <c r="B17" s="3"/>
      <c r="C17" s="3"/>
      <c r="D17" s="13" t="str">
        <f>+IF(ISBLANK(Tableau1[[#This Row],[Salaire net à percevoir (XOF)]]),"",Tableau1[[#This Row],[Salaire net à percevoir (XOF)]]/655.957)</f>
        <v/>
      </c>
      <c r="E17" s="3"/>
      <c r="F17" s="3"/>
      <c r="G17" s="3"/>
      <c r="H17" s="3"/>
      <c r="I17" s="15"/>
      <c r="J17" s="15"/>
      <c r="K17" s="5"/>
    </row>
    <row r="18" spans="1:11" ht="24" customHeight="1" x14ac:dyDescent="0.3">
      <c r="A18" s="4">
        <v>8</v>
      </c>
      <c r="B18" s="3"/>
      <c r="C18" s="3"/>
      <c r="D18" s="13" t="str">
        <f>+IF(ISBLANK(Tableau1[[#This Row],[Salaire net à percevoir (XOF)]]),"",Tableau1[[#This Row],[Salaire net à percevoir (XOF)]]/655.957)</f>
        <v/>
      </c>
      <c r="E18" s="3"/>
      <c r="F18" s="3"/>
      <c r="G18" s="3"/>
      <c r="H18" s="3"/>
      <c r="I18" s="15"/>
      <c r="J18" s="15"/>
      <c r="K18" s="5"/>
    </row>
    <row r="19" spans="1:11" ht="24" customHeight="1" x14ac:dyDescent="0.3">
      <c r="A19" s="4">
        <v>9</v>
      </c>
      <c r="B19" s="3"/>
      <c r="C19" s="3"/>
      <c r="D19" s="13" t="str">
        <f>+IF(ISBLANK(Tableau1[[#This Row],[Salaire net à percevoir (XOF)]]),"",Tableau1[[#This Row],[Salaire net à percevoir (XOF)]]/655.957)</f>
        <v/>
      </c>
      <c r="E19" s="3"/>
      <c r="F19" s="3"/>
      <c r="G19" s="3"/>
      <c r="H19" s="3"/>
      <c r="I19" s="15"/>
      <c r="J19" s="15"/>
      <c r="K19" s="5"/>
    </row>
    <row r="20" spans="1:11" ht="24" customHeight="1" x14ac:dyDescent="0.3">
      <c r="A20" s="4">
        <v>10</v>
      </c>
      <c r="B20" s="3"/>
      <c r="C20" s="3"/>
      <c r="D20" s="13" t="str">
        <f>+IF(ISBLANK(Tableau1[[#This Row],[Salaire net à percevoir (XOF)]]),"",Tableau1[[#This Row],[Salaire net à percevoir (XOF)]]/655.957)</f>
        <v/>
      </c>
      <c r="E20" s="3"/>
      <c r="F20" s="3"/>
      <c r="G20" s="3"/>
      <c r="H20" s="3"/>
      <c r="I20" s="15"/>
      <c r="J20" s="15"/>
      <c r="K20" s="5"/>
    </row>
    <row r="21" spans="1:11" ht="24" customHeight="1" x14ac:dyDescent="0.3">
      <c r="A21" s="4">
        <v>11</v>
      </c>
      <c r="B21" s="3"/>
      <c r="C21" s="3"/>
      <c r="D21" s="13" t="str">
        <f>+IF(ISBLANK(Tableau1[[#This Row],[Salaire net à percevoir (XOF)]]),"",Tableau1[[#This Row],[Salaire net à percevoir (XOF)]]/655.957)</f>
        <v/>
      </c>
      <c r="E21" s="3"/>
      <c r="F21" s="3"/>
      <c r="G21" s="3"/>
      <c r="H21" s="3"/>
      <c r="I21" s="15"/>
      <c r="J21" s="15"/>
      <c r="K21" s="5"/>
    </row>
    <row r="22" spans="1:11" ht="24" customHeight="1" x14ac:dyDescent="0.3">
      <c r="A22" s="9">
        <v>12</v>
      </c>
      <c r="B22" s="10"/>
      <c r="C22" s="10"/>
      <c r="D22" s="14" t="str">
        <f>+IF(ISBLANK(Tableau1[[#This Row],[Salaire net à percevoir (XOF)]]),"",Tableau1[[#This Row],[Salaire net à percevoir (XOF)]]/655.957)</f>
        <v/>
      </c>
      <c r="E22" s="10"/>
      <c r="F22" s="10"/>
      <c r="G22" s="10"/>
      <c r="H22" s="10"/>
      <c r="I22" s="16"/>
      <c r="J22" s="16"/>
      <c r="K22" s="11"/>
    </row>
  </sheetData>
  <mergeCells count="3">
    <mergeCell ref="D4:I4"/>
    <mergeCell ref="I7:J7"/>
    <mergeCell ref="C7:E7"/>
  </mergeCells>
  <dataValidations count="4">
    <dataValidation type="list" allowBlank="1" showInputMessage="1" showErrorMessage="1" sqref="E11:E22" xr:uid="{70209D4D-0DF4-4766-86AD-447334CE8A6E}">
      <formula1>"Célibataire,Marié(e)"</formula1>
    </dataValidation>
    <dataValidation type="list" allowBlank="1" showInputMessage="1" showErrorMessage="1" sqref="F11:F22" xr:uid="{144F4304-0BAE-4CAB-A863-BBE9F02E2E9D}">
      <formula1>"Sans enfant,1 enfant, 2 enfants, 3 enfants, +3 enfants"</formula1>
    </dataValidation>
    <dataValidation type="list" allowBlank="1" showInputMessage="1" showErrorMessage="1" sqref="G11:G22" xr:uid="{A2966835-B50C-47B9-B53E-EC4804766B12}">
      <formula1>"Oui,Non"</formula1>
    </dataValidation>
    <dataValidation type="list" allowBlank="1" showInputMessage="1" showErrorMessage="1" sqref="H11:H22" xr:uid="{EABADD6D-A8A7-418D-A7E7-2CACFD607C28}">
      <formula1>"Non,70%,80%,90%,100%"</formula1>
    </dataValidation>
  </dataValidations>
  <pageMargins left="0.15748031496062992" right="0.15748031496062992" top="0.23622047244094491" bottom="0.43307086614173229" header="0.11811023622047245" footer="0.11811023622047245"/>
  <pageSetup paperSize="9" scale="95" orientation="landscape" r:id="rId1"/>
  <headerFooter>
    <oddHeader>&amp;L&amp;G&amp;RVersion 30.05.25</oddHeader>
    <oddFooter>&amp;C&amp;8 22 BP 1636 ABIDJAN 22 • &amp;U&amp;K03+024www.ect.ci&amp;U&amp;K01+000 • &amp;U&amp;K03+049ect@ect.ci&amp;U&amp;K01+000 • (+225) 05 75 98 50 50 • Capital: 2.000.000 FCFA 
RCCM : CI-ABJ-2013-B-4423 • CC N° 1321270 N • NSIA Banque CI042 01304 078800602001 43</oddFooter>
  </headerFooter>
  <legacy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03D0F-C201-4848-ADB8-7BCB11039C03}">
  <dimension ref="A5:Y20"/>
  <sheetViews>
    <sheetView zoomScale="85" zoomScaleNormal="85" workbookViewId="0">
      <selection activeCell="J8" sqref="J8"/>
    </sheetView>
  </sheetViews>
  <sheetFormatPr baseColWidth="10" defaultRowHeight="13.8" x14ac:dyDescent="0.3"/>
  <cols>
    <col min="1" max="1" width="7.6640625" style="38" customWidth="1"/>
    <col min="2" max="2" width="27.88671875" style="38" customWidth="1"/>
    <col min="3" max="3" width="11.33203125" style="38" customWidth="1"/>
    <col min="4" max="4" width="9.44140625" style="38" customWidth="1"/>
    <col min="5" max="5" width="9.6640625" style="38" customWidth="1"/>
    <col min="6" max="6" width="7.109375" style="38" customWidth="1"/>
    <col min="7" max="16384" width="11.5546875" style="38"/>
  </cols>
  <sheetData>
    <row r="5" spans="1:25" x14ac:dyDescent="0.3">
      <c r="K5" s="52" t="s">
        <v>25</v>
      </c>
      <c r="L5" s="53"/>
      <c r="M5" s="53"/>
      <c r="N5" s="53"/>
      <c r="O5" s="53"/>
      <c r="P5" s="54"/>
      <c r="Q5" s="46"/>
    </row>
    <row r="6" spans="1:25" x14ac:dyDescent="0.3">
      <c r="K6" s="17">
        <v>0</v>
      </c>
      <c r="L6" s="17">
        <v>0.16</v>
      </c>
      <c r="M6" s="17">
        <v>0.21</v>
      </c>
      <c r="N6" s="17">
        <v>0.24</v>
      </c>
      <c r="O6" s="17">
        <v>0.28000000000000003</v>
      </c>
      <c r="P6" s="17">
        <v>0.32</v>
      </c>
      <c r="R6" s="39">
        <v>6.3E-2</v>
      </c>
      <c r="S6" s="47"/>
      <c r="T6" s="39">
        <v>7.6999999999999999E-2</v>
      </c>
      <c r="V6" s="39">
        <v>4.0000000000000001E-3</v>
      </c>
      <c r="W6" s="39">
        <v>1.2E-2</v>
      </c>
      <c r="X6" s="40">
        <v>0.02</v>
      </c>
      <c r="Y6" s="40">
        <v>0.05</v>
      </c>
    </row>
    <row r="7" spans="1:25" ht="40.799999999999997" customHeight="1" x14ac:dyDescent="0.3">
      <c r="A7" s="18" t="s">
        <v>2</v>
      </c>
      <c r="B7" s="19" t="s">
        <v>8</v>
      </c>
      <c r="C7" s="19" t="s">
        <v>9</v>
      </c>
      <c r="D7" s="20" t="s">
        <v>14</v>
      </c>
      <c r="E7" s="21" t="s">
        <v>31</v>
      </c>
      <c r="F7" s="22" t="s">
        <v>15</v>
      </c>
      <c r="G7" s="23" t="s">
        <v>16</v>
      </c>
      <c r="H7" s="23" t="s">
        <v>17</v>
      </c>
      <c r="I7" s="23" t="s">
        <v>18</v>
      </c>
      <c r="J7" s="24" t="s">
        <v>26</v>
      </c>
      <c r="K7" s="23" t="s">
        <v>19</v>
      </c>
      <c r="L7" s="23" t="s">
        <v>20</v>
      </c>
      <c r="M7" s="23" t="s">
        <v>21</v>
      </c>
      <c r="N7" s="23" t="s">
        <v>22</v>
      </c>
      <c r="O7" s="23" t="s">
        <v>23</v>
      </c>
      <c r="P7" s="25" t="s">
        <v>24</v>
      </c>
      <c r="Q7" s="36" t="s">
        <v>36</v>
      </c>
      <c r="R7" s="33" t="s">
        <v>28</v>
      </c>
      <c r="S7" s="34" t="s">
        <v>29</v>
      </c>
      <c r="T7" s="20" t="s">
        <v>27</v>
      </c>
      <c r="U7" s="35" t="s">
        <v>30</v>
      </c>
      <c r="V7" s="21" t="s">
        <v>32</v>
      </c>
      <c r="W7" s="36" t="s">
        <v>33</v>
      </c>
      <c r="X7" s="36" t="s">
        <v>34</v>
      </c>
      <c r="Y7" s="37" t="s">
        <v>35</v>
      </c>
    </row>
    <row r="8" spans="1:25" x14ac:dyDescent="0.3">
      <c r="A8" s="26">
        <v>1</v>
      </c>
      <c r="B8" s="27"/>
      <c r="C8" s="27"/>
      <c r="D8" s="27"/>
      <c r="E8" s="28"/>
      <c r="F8" s="29"/>
      <c r="G8" s="41"/>
      <c r="H8" s="41"/>
      <c r="I8" s="41"/>
      <c r="J8" s="41"/>
      <c r="K8" s="41">
        <f>IF(Calcul_Charges[[#This Row],[Sal_Brut]]&lt;75000,Calcul_Charges[[#This Row],[Sal_Brut]]*$K$6,0)</f>
        <v>0</v>
      </c>
      <c r="L8" s="41" t="str">
        <f>IF(Calcul_Charges[[#This Row],[Sal_Brut]]="","",IF(Calcul_Charges[[#This Row],[Sal_Brut]]&gt;240000,(240000-75001)*$L$6,(Calcul_Charges[[#This Row],[Sal_Brut]]-75001)*$L$6))</f>
        <v/>
      </c>
      <c r="M8" s="41">
        <f>IF(Calcul_Charges[[#This Row],[Sal_Brut]]&gt;800000,(800000-240001)*$M$6,IF(Calcul_Charges[[#This Row],[Sal_Brut]]&gt;240001,(Calcul_Charges[[#This Row],[Sal_Brut]]-240001)*$M$6,0))</f>
        <v>0</v>
      </c>
      <c r="N8" s="41">
        <f>IF(Calcul_Charges[[#This Row],[Sal_Brut]]&gt;2400000,(2400000-800001)*$N$6,IF(Calcul_Charges[[#This Row],[Sal_Brut]]&gt;800001,(Calcul_Charges[[#This Row],[Sal_Brut]]-800001)*$N$6,0))</f>
        <v>0</v>
      </c>
      <c r="O8" s="41">
        <f>IF(Calcul_Charges[[#This Row],[Sal_Brut]]&gt;8000000,(8000000-2400001)*$O$6,IF(Calcul_Charges[[#This Row],[Sal_Brut]]&gt;2400001,(Calcul_Charges[[#This Row],[Sal_Brut]]-2400001)*$O$6,0))</f>
        <v>0</v>
      </c>
      <c r="P8" s="41">
        <f>IF(Calcul_Charges[[#This Row],[Sal_Brut]]&gt;8000001,(Calcul_Charges[[#This Row],[Sal_Brut]]-8000001)*$P$6,0)</f>
        <v>0</v>
      </c>
      <c r="Q8" s="41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8" s="41">
        <f>+Calcul_Charges[[#This Row],[Sal_Brut]]*6.3%</f>
        <v>0</v>
      </c>
      <c r="S8" s="41">
        <f>IF(ISBLANK(Calcul_Charges[[#This Row],[Sal_Brut]]),0,1500)</f>
        <v>0</v>
      </c>
      <c r="T8" s="41">
        <f>+Calcul_Charges[[#This Row],[Sal_Brut]]*7.7%</f>
        <v>0</v>
      </c>
      <c r="U8" s="41">
        <f>IF(ISBLANK(Calcul_Charges[[#This Row],[Sal_Brut]]),0,1500)</f>
        <v>0</v>
      </c>
      <c r="V8" s="41">
        <f>+Calcul_Charges[[#This Row],[Sal_Brut]]*$V$6</f>
        <v>0</v>
      </c>
      <c r="W8" s="41">
        <f>Calcul_Charges[[#This Row],[Sal_Brut]]*$W$6</f>
        <v>0</v>
      </c>
      <c r="X8" s="41">
        <f>Calcul_Charges[[#This Row],[Sal_Brut]]*$X$6</f>
        <v>0</v>
      </c>
      <c r="Y8" s="41">
        <f>Calcul_Charges[[#This Row],[Sal_Brut]]*$Y$6</f>
        <v>0</v>
      </c>
    </row>
    <row r="9" spans="1:25" x14ac:dyDescent="0.3">
      <c r="A9" s="26">
        <v>2</v>
      </c>
      <c r="B9" s="27"/>
      <c r="C9" s="27"/>
      <c r="D9" s="27"/>
      <c r="E9" s="28"/>
      <c r="F9" s="27"/>
      <c r="G9" s="42"/>
      <c r="H9" s="42"/>
      <c r="I9" s="42"/>
      <c r="J9" s="42"/>
      <c r="K9" s="42">
        <f>IF(Calcul_Charges[[#This Row],[Sal_Brut]]&lt;75000,Calcul_Charges[[#This Row],[Sal_Brut]]*$K$6,0)</f>
        <v>0</v>
      </c>
      <c r="L9" s="42" t="str">
        <f>IF(Calcul_Charges[[#This Row],[Sal_Brut]]="","",IF(Calcul_Charges[[#This Row],[Sal_Brut]]&gt;240000,(240000-75001)*$L$6,(Calcul_Charges[[#This Row],[Sal_Brut]]-75001)*$L$6))</f>
        <v/>
      </c>
      <c r="M9" s="42">
        <f>IF(Calcul_Charges[[#This Row],[Sal_Brut]]&gt;800000,(800000-240001)*$M$6,IF(Calcul_Charges[[#This Row],[Sal_Brut]]&gt;240001,(Calcul_Charges[[#This Row],[Sal_Brut]]-240001)*$M$6,0))</f>
        <v>0</v>
      </c>
      <c r="N9" s="42">
        <f>IF(Calcul_Charges[[#This Row],[Sal_Brut]]&gt;2400000,(2400000-800001)*$N$6,IF(Calcul_Charges[[#This Row],[Sal_Brut]]&gt;800001,(Calcul_Charges[[#This Row],[Sal_Brut]]-800001)*$N$6,0))</f>
        <v>0</v>
      </c>
      <c r="O9" s="42">
        <f>IF(Calcul_Charges[[#This Row],[Sal_Brut]]&gt;8000000,(8000000-2400001)*$O$6,IF(Calcul_Charges[[#This Row],[Sal_Brut]]&gt;2400001,(Calcul_Charges[[#This Row],[Sal_Brut]]-2400001)*$O$6,0))</f>
        <v>0</v>
      </c>
      <c r="P9" s="42">
        <f>IF(Calcul_Charges[[#This Row],[Sal_Brut]]&gt;8000001,(Calcul_Charges[[#This Row],[Sal_Brut]]-8000001)*$P$6,0)</f>
        <v>0</v>
      </c>
      <c r="Q9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9" s="42">
        <f>+Calcul_Charges[[#This Row],[Sal_Brut]]*6.3%</f>
        <v>0</v>
      </c>
      <c r="S9" s="41">
        <f>IF(ISBLANK(Calcul_Charges[[#This Row],[Sal_Brut]]),0,1500)</f>
        <v>0</v>
      </c>
      <c r="T9" s="42">
        <f>+Calcul_Charges[[#This Row],[Sal_Brut]]*7.7%</f>
        <v>0</v>
      </c>
      <c r="U9" s="42">
        <f>IF(ISBLANK(Calcul_Charges[[#This Row],[Sal_Brut]]),0,1500)</f>
        <v>0</v>
      </c>
      <c r="V9" s="42">
        <f>+Calcul_Charges[[#This Row],[Sal_Brut]]*$V$6</f>
        <v>0</v>
      </c>
      <c r="W9" s="42">
        <f>Calcul_Charges[[#This Row],[Sal_Brut]]*$W$6</f>
        <v>0</v>
      </c>
      <c r="X9" s="42">
        <f>Calcul_Charges[[#This Row],[Sal_Brut]]*$X$6</f>
        <v>0</v>
      </c>
      <c r="Y9" s="42">
        <f>Calcul_Charges[[#This Row],[Sal_Brut]]*$Y$6</f>
        <v>0</v>
      </c>
    </row>
    <row r="10" spans="1:25" x14ac:dyDescent="0.3">
      <c r="A10" s="26">
        <v>3</v>
      </c>
      <c r="B10" s="27"/>
      <c r="C10" s="27"/>
      <c r="D10" s="27"/>
      <c r="E10" s="28"/>
      <c r="F10" s="27"/>
      <c r="G10" s="42"/>
      <c r="H10" s="42"/>
      <c r="I10" s="42"/>
      <c r="J10" s="42"/>
      <c r="K10" s="42">
        <f>IF(Calcul_Charges[[#This Row],[Sal_Brut]]&lt;75000,Calcul_Charges[[#This Row],[Sal_Brut]]*$K$6,0)</f>
        <v>0</v>
      </c>
      <c r="L10" s="42" t="str">
        <f>IF(Calcul_Charges[[#This Row],[Sal_Brut]]="","",IF(Calcul_Charges[[#This Row],[Sal_Brut]]&gt;240000,(240000-75001)*$L$6,(Calcul_Charges[[#This Row],[Sal_Brut]]-75001)*$L$6))</f>
        <v/>
      </c>
      <c r="M10" s="42">
        <f>IF(Calcul_Charges[[#This Row],[Sal_Brut]]&gt;800000,(800000-240001)*$M$6,IF(Calcul_Charges[[#This Row],[Sal_Brut]]&gt;240001,(Calcul_Charges[[#This Row],[Sal_Brut]]-240001)*$M$6,0))</f>
        <v>0</v>
      </c>
      <c r="N10" s="42">
        <f>IF(Calcul_Charges[[#This Row],[Sal_Brut]]&gt;2400000,(2400000-800001)*$N$6,IF(Calcul_Charges[[#This Row],[Sal_Brut]]&gt;800001,(Calcul_Charges[[#This Row],[Sal_Brut]]-800001)*$N$6,0))</f>
        <v>0</v>
      </c>
      <c r="O10" s="42">
        <f>IF(Calcul_Charges[[#This Row],[Sal_Brut]]&gt;8000000,(8000000-2400001)*$O$6,IF(Calcul_Charges[[#This Row],[Sal_Brut]]&gt;2400001,(Calcul_Charges[[#This Row],[Sal_Brut]]-2400001)*$O$6,0))</f>
        <v>0</v>
      </c>
      <c r="P10" s="42">
        <f>IF(Calcul_Charges[[#This Row],[Sal_Brut]]&gt;8000001,(Calcul_Charges[[#This Row],[Sal_Brut]]-8000001)*$P$6,0)</f>
        <v>0</v>
      </c>
      <c r="Q10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0" s="42">
        <f>+Calcul_Charges[[#This Row],[Sal_Brut]]*6.3%</f>
        <v>0</v>
      </c>
      <c r="S10" s="41">
        <f>IF(ISBLANK(Calcul_Charges[[#This Row],[Sal_Brut]]),0,1500)</f>
        <v>0</v>
      </c>
      <c r="T10" s="42">
        <f>+Calcul_Charges[[#This Row],[Sal_Brut]]*7.7%</f>
        <v>0</v>
      </c>
      <c r="U10" s="42">
        <f>IF(ISBLANK(Calcul_Charges[[#This Row],[Sal_Brut]]),0,1500)</f>
        <v>0</v>
      </c>
      <c r="V10" s="42">
        <f>+Calcul_Charges[[#This Row],[Sal_Brut]]*$V$6</f>
        <v>0</v>
      </c>
      <c r="W10" s="42">
        <f>Calcul_Charges[[#This Row],[Sal_Brut]]*$W$6</f>
        <v>0</v>
      </c>
      <c r="X10" s="42">
        <f>Calcul_Charges[[#This Row],[Sal_Brut]]*$X$6</f>
        <v>0</v>
      </c>
      <c r="Y10" s="42">
        <f>Calcul_Charges[[#This Row],[Sal_Brut]]*$Y$6</f>
        <v>0</v>
      </c>
    </row>
    <row r="11" spans="1:25" x14ac:dyDescent="0.3">
      <c r="A11" s="26">
        <v>4</v>
      </c>
      <c r="B11" s="27"/>
      <c r="C11" s="27"/>
      <c r="D11" s="27"/>
      <c r="E11" s="28"/>
      <c r="F11" s="27"/>
      <c r="G11" s="42"/>
      <c r="H11" s="42"/>
      <c r="I11" s="42"/>
      <c r="J11" s="42"/>
      <c r="K11" s="42">
        <f>IF(Calcul_Charges[[#This Row],[Sal_Brut]]&lt;75000,Calcul_Charges[[#This Row],[Sal_Brut]]*$K$6,0)</f>
        <v>0</v>
      </c>
      <c r="L11" s="42" t="str">
        <f>IF(Calcul_Charges[[#This Row],[Sal_Brut]]="","",IF(Calcul_Charges[[#This Row],[Sal_Brut]]&gt;240000,(240000-75001)*$L$6,(Calcul_Charges[[#This Row],[Sal_Brut]]-75001)*$L$6))</f>
        <v/>
      </c>
      <c r="M11" s="42">
        <f>IF(Calcul_Charges[[#This Row],[Sal_Brut]]&gt;800000,(800000-240001)*$M$6,IF(Calcul_Charges[[#This Row],[Sal_Brut]]&gt;240001,(Calcul_Charges[[#This Row],[Sal_Brut]]-240001)*$M$6,0))</f>
        <v>0</v>
      </c>
      <c r="N11" s="42">
        <f>IF(Calcul_Charges[[#This Row],[Sal_Brut]]&gt;2400000,(2400000-800001)*$N$6,IF(Calcul_Charges[[#This Row],[Sal_Brut]]&gt;800001,(Calcul_Charges[[#This Row],[Sal_Brut]]-800001)*$N$6,0))</f>
        <v>0</v>
      </c>
      <c r="O11" s="42">
        <f>IF(Calcul_Charges[[#This Row],[Sal_Brut]]&gt;8000000,(8000000-2400001)*$O$6,IF(Calcul_Charges[[#This Row],[Sal_Brut]]&gt;2400001,(Calcul_Charges[[#This Row],[Sal_Brut]]-2400001)*$O$6,0))</f>
        <v>0</v>
      </c>
      <c r="P11" s="42">
        <f>IF(Calcul_Charges[[#This Row],[Sal_Brut]]&gt;8000001,(Calcul_Charges[[#This Row],[Sal_Brut]]-8000001)*$P$6,0)</f>
        <v>0</v>
      </c>
      <c r="Q11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1" s="42">
        <f>+Calcul_Charges[[#This Row],[Sal_Brut]]*6.3%</f>
        <v>0</v>
      </c>
      <c r="S11" s="41">
        <f>IF(ISBLANK(Calcul_Charges[[#This Row],[Sal_Brut]]),0,1500)</f>
        <v>0</v>
      </c>
      <c r="T11" s="42">
        <f>+Calcul_Charges[[#This Row],[Sal_Brut]]*7.7%</f>
        <v>0</v>
      </c>
      <c r="U11" s="42">
        <f>IF(ISBLANK(Calcul_Charges[[#This Row],[Sal_Brut]]),0,1500)</f>
        <v>0</v>
      </c>
      <c r="V11" s="42">
        <f>+Calcul_Charges[[#This Row],[Sal_Brut]]*$V$6</f>
        <v>0</v>
      </c>
      <c r="W11" s="42">
        <f>Calcul_Charges[[#This Row],[Sal_Brut]]*$W$6</f>
        <v>0</v>
      </c>
      <c r="X11" s="42">
        <f>Calcul_Charges[[#This Row],[Sal_Brut]]*$X$6</f>
        <v>0</v>
      </c>
      <c r="Y11" s="42">
        <f>Calcul_Charges[[#This Row],[Sal_Brut]]*$Y$6</f>
        <v>0</v>
      </c>
    </row>
    <row r="12" spans="1:25" x14ac:dyDescent="0.3">
      <c r="A12" s="26">
        <v>5</v>
      </c>
      <c r="B12" s="27"/>
      <c r="C12" s="27"/>
      <c r="D12" s="27"/>
      <c r="E12" s="28"/>
      <c r="F12" s="27"/>
      <c r="G12" s="42"/>
      <c r="H12" s="42"/>
      <c r="I12" s="42"/>
      <c r="J12" s="42"/>
      <c r="K12" s="42">
        <f>IF(Calcul_Charges[[#This Row],[Sal_Brut]]&lt;75000,Calcul_Charges[[#This Row],[Sal_Brut]]*$K$6,0)</f>
        <v>0</v>
      </c>
      <c r="L12" s="42" t="str">
        <f>IF(Calcul_Charges[[#This Row],[Sal_Brut]]="","",IF(Calcul_Charges[[#This Row],[Sal_Brut]]&gt;240000,(240000-75001)*$L$6,(Calcul_Charges[[#This Row],[Sal_Brut]]-75001)*$L$6))</f>
        <v/>
      </c>
      <c r="M12" s="42">
        <f>IF(Calcul_Charges[[#This Row],[Sal_Brut]]&gt;800000,(800000-240001)*$M$6,IF(Calcul_Charges[[#This Row],[Sal_Brut]]&gt;240001,(Calcul_Charges[[#This Row],[Sal_Brut]]-240001)*$M$6,0))</f>
        <v>0</v>
      </c>
      <c r="N12" s="42">
        <f>IF(Calcul_Charges[[#This Row],[Sal_Brut]]&gt;2400000,(2400000-800001)*$N$6,IF(Calcul_Charges[[#This Row],[Sal_Brut]]&gt;800001,(Calcul_Charges[[#This Row],[Sal_Brut]]-800001)*$N$6,0))</f>
        <v>0</v>
      </c>
      <c r="O12" s="42">
        <f>IF(Calcul_Charges[[#This Row],[Sal_Brut]]&gt;8000000,(8000000-2400001)*$O$6,IF(Calcul_Charges[[#This Row],[Sal_Brut]]&gt;2400001,(Calcul_Charges[[#This Row],[Sal_Brut]]-2400001)*$O$6,0))</f>
        <v>0</v>
      </c>
      <c r="P12" s="42">
        <f>IF(Calcul_Charges[[#This Row],[Sal_Brut]]&gt;8000001,(Calcul_Charges[[#This Row],[Sal_Brut]]-8000001)*$P$6,0)</f>
        <v>0</v>
      </c>
      <c r="Q12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2" s="42">
        <f>+Calcul_Charges[[#This Row],[Sal_Brut]]*6.3%</f>
        <v>0</v>
      </c>
      <c r="S12" s="41">
        <f>IF(ISBLANK(Calcul_Charges[[#This Row],[Sal_Brut]]),0,1500)</f>
        <v>0</v>
      </c>
      <c r="T12" s="42">
        <f>+Calcul_Charges[[#This Row],[Sal_Brut]]*7.7%</f>
        <v>0</v>
      </c>
      <c r="U12" s="42">
        <f>IF(ISBLANK(Calcul_Charges[[#This Row],[Sal_Brut]]),0,1500)</f>
        <v>0</v>
      </c>
      <c r="V12" s="42">
        <f>+Calcul_Charges[[#This Row],[Sal_Brut]]*$V$6</f>
        <v>0</v>
      </c>
      <c r="W12" s="42">
        <f>Calcul_Charges[[#This Row],[Sal_Brut]]*$W$6</f>
        <v>0</v>
      </c>
      <c r="X12" s="42">
        <f>Calcul_Charges[[#This Row],[Sal_Brut]]*$X$6</f>
        <v>0</v>
      </c>
      <c r="Y12" s="42">
        <f>Calcul_Charges[[#This Row],[Sal_Brut]]*$Y$6</f>
        <v>0</v>
      </c>
    </row>
    <row r="13" spans="1:25" x14ac:dyDescent="0.3">
      <c r="A13" s="26">
        <v>6</v>
      </c>
      <c r="B13" s="27"/>
      <c r="C13" s="27"/>
      <c r="D13" s="27"/>
      <c r="E13" s="28"/>
      <c r="F13" s="27"/>
      <c r="G13" s="42"/>
      <c r="H13" s="42"/>
      <c r="I13" s="42"/>
      <c r="J13" s="42"/>
      <c r="K13" s="42">
        <f>IF(Calcul_Charges[[#This Row],[Sal_Brut]]&lt;75000,Calcul_Charges[[#This Row],[Sal_Brut]]*$K$6,0)</f>
        <v>0</v>
      </c>
      <c r="L13" s="42" t="str">
        <f>IF(Calcul_Charges[[#This Row],[Sal_Brut]]="","",IF(Calcul_Charges[[#This Row],[Sal_Brut]]&gt;240000,(240000-75001)*$L$6,(Calcul_Charges[[#This Row],[Sal_Brut]]-75001)*$L$6))</f>
        <v/>
      </c>
      <c r="M13" s="42">
        <f>IF(Calcul_Charges[[#This Row],[Sal_Brut]]&gt;800000,(800000-240001)*$M$6,IF(Calcul_Charges[[#This Row],[Sal_Brut]]&gt;240001,(Calcul_Charges[[#This Row],[Sal_Brut]]-240001)*$M$6,0))</f>
        <v>0</v>
      </c>
      <c r="N13" s="42">
        <f>IF(Calcul_Charges[[#This Row],[Sal_Brut]]&gt;2400000,(2400000-800001)*$N$6,IF(Calcul_Charges[[#This Row],[Sal_Brut]]&gt;800001,(Calcul_Charges[[#This Row],[Sal_Brut]]-800001)*$N$6,0))</f>
        <v>0</v>
      </c>
      <c r="O13" s="42">
        <f>IF(Calcul_Charges[[#This Row],[Sal_Brut]]&gt;8000000,(8000000-2400001)*$O$6,IF(Calcul_Charges[[#This Row],[Sal_Brut]]&gt;2400001,(Calcul_Charges[[#This Row],[Sal_Brut]]-2400001)*$O$6,0))</f>
        <v>0</v>
      </c>
      <c r="P13" s="42">
        <f>IF(Calcul_Charges[[#This Row],[Sal_Brut]]&gt;8000001,(Calcul_Charges[[#This Row],[Sal_Brut]]-8000001)*$P$6,0)</f>
        <v>0</v>
      </c>
      <c r="Q13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3" s="42">
        <f>+Calcul_Charges[[#This Row],[Sal_Brut]]*6.3%</f>
        <v>0</v>
      </c>
      <c r="S13" s="41">
        <f>IF(ISBLANK(Calcul_Charges[[#This Row],[Sal_Brut]]),0,1500)</f>
        <v>0</v>
      </c>
      <c r="T13" s="42">
        <f>+Calcul_Charges[[#This Row],[Sal_Brut]]*7.7%</f>
        <v>0</v>
      </c>
      <c r="U13" s="42">
        <f>IF(ISBLANK(Calcul_Charges[[#This Row],[Sal_Brut]]),0,1500)</f>
        <v>0</v>
      </c>
      <c r="V13" s="42">
        <f>+Calcul_Charges[[#This Row],[Sal_Brut]]*$V$6</f>
        <v>0</v>
      </c>
      <c r="W13" s="42">
        <f>Calcul_Charges[[#This Row],[Sal_Brut]]*$W$6</f>
        <v>0</v>
      </c>
      <c r="X13" s="42">
        <f>Calcul_Charges[[#This Row],[Sal_Brut]]*$X$6</f>
        <v>0</v>
      </c>
      <c r="Y13" s="42">
        <f>Calcul_Charges[[#This Row],[Sal_Brut]]*$Y$6</f>
        <v>0</v>
      </c>
    </row>
    <row r="14" spans="1:25" x14ac:dyDescent="0.3">
      <c r="A14" s="26">
        <v>7</v>
      </c>
      <c r="B14" s="27"/>
      <c r="C14" s="27"/>
      <c r="D14" s="27"/>
      <c r="E14" s="28"/>
      <c r="F14" s="27"/>
      <c r="G14" s="42"/>
      <c r="H14" s="42"/>
      <c r="I14" s="42"/>
      <c r="J14" s="42"/>
      <c r="K14" s="42">
        <f>IF(Calcul_Charges[[#This Row],[Sal_Brut]]&lt;75000,Calcul_Charges[[#This Row],[Sal_Brut]]*$K$6,0)</f>
        <v>0</v>
      </c>
      <c r="L14" s="42" t="str">
        <f>IF(Calcul_Charges[[#This Row],[Sal_Brut]]="","",IF(Calcul_Charges[[#This Row],[Sal_Brut]]&gt;240000,(240000-75001)*$L$6,(Calcul_Charges[[#This Row],[Sal_Brut]]-75001)*$L$6))</f>
        <v/>
      </c>
      <c r="M14" s="42">
        <f>IF(Calcul_Charges[[#This Row],[Sal_Brut]]&gt;800000,(800000-240001)*$M$6,IF(Calcul_Charges[[#This Row],[Sal_Brut]]&gt;240001,(Calcul_Charges[[#This Row],[Sal_Brut]]-240001)*$M$6,0))</f>
        <v>0</v>
      </c>
      <c r="N14" s="42">
        <f>IF(Calcul_Charges[[#This Row],[Sal_Brut]]&gt;2400000,(2400000-800001)*$N$6,IF(Calcul_Charges[[#This Row],[Sal_Brut]]&gt;800001,(Calcul_Charges[[#This Row],[Sal_Brut]]-800001)*$N$6,0))</f>
        <v>0</v>
      </c>
      <c r="O14" s="42">
        <f>IF(Calcul_Charges[[#This Row],[Sal_Brut]]&gt;8000000,(8000000-2400001)*$O$6,IF(Calcul_Charges[[#This Row],[Sal_Brut]]&gt;2400001,(Calcul_Charges[[#This Row],[Sal_Brut]]-2400001)*$O$6,0))</f>
        <v>0</v>
      </c>
      <c r="P14" s="42">
        <f>IF(Calcul_Charges[[#This Row],[Sal_Brut]]&gt;8000001,(Calcul_Charges[[#This Row],[Sal_Brut]]-8000001)*$P$6,0)</f>
        <v>0</v>
      </c>
      <c r="Q14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4" s="42">
        <f>+Calcul_Charges[[#This Row],[Sal_Brut]]*6.3%</f>
        <v>0</v>
      </c>
      <c r="S14" s="41">
        <f>IF(ISBLANK(Calcul_Charges[[#This Row],[Sal_Brut]]),0,1500)</f>
        <v>0</v>
      </c>
      <c r="T14" s="42">
        <f>+Calcul_Charges[[#This Row],[Sal_Brut]]*7.7%</f>
        <v>0</v>
      </c>
      <c r="U14" s="42">
        <f>IF(ISBLANK(Calcul_Charges[[#This Row],[Sal_Brut]]),0,1500)</f>
        <v>0</v>
      </c>
      <c r="V14" s="42">
        <f>+Calcul_Charges[[#This Row],[Sal_Brut]]*$V$6</f>
        <v>0</v>
      </c>
      <c r="W14" s="42">
        <f>Calcul_Charges[[#This Row],[Sal_Brut]]*$W$6</f>
        <v>0</v>
      </c>
      <c r="X14" s="42">
        <f>Calcul_Charges[[#This Row],[Sal_Brut]]*$X$6</f>
        <v>0</v>
      </c>
      <c r="Y14" s="42">
        <f>Calcul_Charges[[#This Row],[Sal_Brut]]*$Y$6</f>
        <v>0</v>
      </c>
    </row>
    <row r="15" spans="1:25" x14ac:dyDescent="0.3">
      <c r="A15" s="26">
        <v>8</v>
      </c>
      <c r="B15" s="27"/>
      <c r="C15" s="27"/>
      <c r="D15" s="27"/>
      <c r="E15" s="28"/>
      <c r="F15" s="27"/>
      <c r="G15" s="42"/>
      <c r="H15" s="42"/>
      <c r="I15" s="42"/>
      <c r="J15" s="42"/>
      <c r="K15" s="42">
        <f>IF(Calcul_Charges[[#This Row],[Sal_Brut]]&lt;75000,Calcul_Charges[[#This Row],[Sal_Brut]]*$K$6,0)</f>
        <v>0</v>
      </c>
      <c r="L15" s="42" t="str">
        <f>IF(Calcul_Charges[[#This Row],[Sal_Brut]]="","",IF(Calcul_Charges[[#This Row],[Sal_Brut]]&gt;240000,(240000-75001)*$L$6,(Calcul_Charges[[#This Row],[Sal_Brut]]-75001)*$L$6))</f>
        <v/>
      </c>
      <c r="M15" s="42">
        <f>IF(Calcul_Charges[[#This Row],[Sal_Brut]]&gt;800000,(800000-240001)*$M$6,IF(Calcul_Charges[[#This Row],[Sal_Brut]]&gt;240001,(Calcul_Charges[[#This Row],[Sal_Brut]]-240001)*$M$6,0))</f>
        <v>0</v>
      </c>
      <c r="N15" s="42">
        <f>IF(Calcul_Charges[[#This Row],[Sal_Brut]]&gt;2400000,(2400000-800001)*$N$6,IF(Calcul_Charges[[#This Row],[Sal_Brut]]&gt;800001,(Calcul_Charges[[#This Row],[Sal_Brut]]-800001)*$N$6,0))</f>
        <v>0</v>
      </c>
      <c r="O15" s="42">
        <f>IF(Calcul_Charges[[#This Row],[Sal_Brut]]&gt;8000000,(8000000-2400001)*$O$6,IF(Calcul_Charges[[#This Row],[Sal_Brut]]&gt;2400001,(Calcul_Charges[[#This Row],[Sal_Brut]]-2400001)*$O$6,0))</f>
        <v>0</v>
      </c>
      <c r="P15" s="42">
        <f>IF(Calcul_Charges[[#This Row],[Sal_Brut]]&gt;8000001,(Calcul_Charges[[#This Row],[Sal_Brut]]-8000001)*$P$6,0)</f>
        <v>0</v>
      </c>
      <c r="Q15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5" s="42">
        <f>+Calcul_Charges[[#This Row],[Sal_Brut]]*6.3%</f>
        <v>0</v>
      </c>
      <c r="S15" s="41">
        <f>IF(ISBLANK(Calcul_Charges[[#This Row],[Sal_Brut]]),0,1500)</f>
        <v>0</v>
      </c>
      <c r="T15" s="42">
        <f>+Calcul_Charges[[#This Row],[Sal_Brut]]*7.7%</f>
        <v>0</v>
      </c>
      <c r="U15" s="42">
        <f>IF(ISBLANK(Calcul_Charges[[#This Row],[Sal_Brut]]),0,1500)</f>
        <v>0</v>
      </c>
      <c r="V15" s="42">
        <f>+Calcul_Charges[[#This Row],[Sal_Brut]]*$V$6</f>
        <v>0</v>
      </c>
      <c r="W15" s="42">
        <f>Calcul_Charges[[#This Row],[Sal_Brut]]*$W$6</f>
        <v>0</v>
      </c>
      <c r="X15" s="42">
        <f>Calcul_Charges[[#This Row],[Sal_Brut]]*$X$6</f>
        <v>0</v>
      </c>
      <c r="Y15" s="42">
        <f>Calcul_Charges[[#This Row],[Sal_Brut]]*$Y$6</f>
        <v>0</v>
      </c>
    </row>
    <row r="16" spans="1:25" x14ac:dyDescent="0.3">
      <c r="A16" s="26">
        <v>9</v>
      </c>
      <c r="B16" s="27"/>
      <c r="C16" s="27"/>
      <c r="D16" s="27"/>
      <c r="E16" s="28"/>
      <c r="F16" s="27"/>
      <c r="G16" s="42"/>
      <c r="H16" s="42"/>
      <c r="I16" s="42"/>
      <c r="J16" s="42"/>
      <c r="K16" s="42">
        <f>IF(Calcul_Charges[[#This Row],[Sal_Brut]]&lt;75000,Calcul_Charges[[#This Row],[Sal_Brut]]*$K$6,0)</f>
        <v>0</v>
      </c>
      <c r="L16" s="42" t="str">
        <f>IF(Calcul_Charges[[#This Row],[Sal_Brut]]="","",IF(Calcul_Charges[[#This Row],[Sal_Brut]]&gt;240000,(240000-75001)*$L$6,(Calcul_Charges[[#This Row],[Sal_Brut]]-75001)*$L$6))</f>
        <v/>
      </c>
      <c r="M16" s="42">
        <f>IF(Calcul_Charges[[#This Row],[Sal_Brut]]&gt;800000,(800000-240001)*$M$6,IF(Calcul_Charges[[#This Row],[Sal_Brut]]&gt;240001,(Calcul_Charges[[#This Row],[Sal_Brut]]-240001)*$M$6,0))</f>
        <v>0</v>
      </c>
      <c r="N16" s="42">
        <f>IF(Calcul_Charges[[#This Row],[Sal_Brut]]&gt;2400000,(2400000-800001)*$N$6,IF(Calcul_Charges[[#This Row],[Sal_Brut]]&gt;800001,(Calcul_Charges[[#This Row],[Sal_Brut]]-800001)*$N$6,0))</f>
        <v>0</v>
      </c>
      <c r="O16" s="42">
        <f>IF(Calcul_Charges[[#This Row],[Sal_Brut]]&gt;8000000,(8000000-2400001)*$O$6,IF(Calcul_Charges[[#This Row],[Sal_Brut]]&gt;2400001,(Calcul_Charges[[#This Row],[Sal_Brut]]-2400001)*$O$6,0))</f>
        <v>0</v>
      </c>
      <c r="P16" s="42">
        <f>IF(Calcul_Charges[[#This Row],[Sal_Brut]]&gt;8000001,(Calcul_Charges[[#This Row],[Sal_Brut]]-8000001)*$P$6,0)</f>
        <v>0</v>
      </c>
      <c r="Q16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6" s="42">
        <f>+Calcul_Charges[[#This Row],[Sal_Brut]]*6.3%</f>
        <v>0</v>
      </c>
      <c r="S16" s="41">
        <f>IF(ISBLANK(Calcul_Charges[[#This Row],[Sal_Brut]]),0,1500)</f>
        <v>0</v>
      </c>
      <c r="T16" s="42">
        <f>+Calcul_Charges[[#This Row],[Sal_Brut]]*7.7%</f>
        <v>0</v>
      </c>
      <c r="U16" s="42">
        <f>IF(ISBLANK(Calcul_Charges[[#This Row],[Sal_Brut]]),0,1500)</f>
        <v>0</v>
      </c>
      <c r="V16" s="42">
        <f>+Calcul_Charges[[#This Row],[Sal_Brut]]*$V$6</f>
        <v>0</v>
      </c>
      <c r="W16" s="42">
        <f>Calcul_Charges[[#This Row],[Sal_Brut]]*$W$6</f>
        <v>0</v>
      </c>
      <c r="X16" s="42">
        <f>Calcul_Charges[[#This Row],[Sal_Brut]]*$X$6</f>
        <v>0</v>
      </c>
      <c r="Y16" s="42">
        <f>Calcul_Charges[[#This Row],[Sal_Brut]]*$Y$6</f>
        <v>0</v>
      </c>
    </row>
    <row r="17" spans="1:25" x14ac:dyDescent="0.3">
      <c r="A17" s="26">
        <v>10</v>
      </c>
      <c r="B17" s="27"/>
      <c r="C17" s="27"/>
      <c r="D17" s="27"/>
      <c r="E17" s="28"/>
      <c r="F17" s="27"/>
      <c r="G17" s="42"/>
      <c r="H17" s="42"/>
      <c r="I17" s="42"/>
      <c r="J17" s="42"/>
      <c r="K17" s="42">
        <f>IF(Calcul_Charges[[#This Row],[Sal_Brut]]&lt;75000,Calcul_Charges[[#This Row],[Sal_Brut]]*$K$6,0)</f>
        <v>0</v>
      </c>
      <c r="L17" s="42" t="str">
        <f>IF(Calcul_Charges[[#This Row],[Sal_Brut]]="","",IF(Calcul_Charges[[#This Row],[Sal_Brut]]&gt;240000,(240000-75001)*$L$6,(Calcul_Charges[[#This Row],[Sal_Brut]]-75001)*$L$6))</f>
        <v/>
      </c>
      <c r="M17" s="42">
        <f>IF(Calcul_Charges[[#This Row],[Sal_Brut]]&gt;800000,(800000-240001)*$M$6,IF(Calcul_Charges[[#This Row],[Sal_Brut]]&gt;240001,(Calcul_Charges[[#This Row],[Sal_Brut]]-240001)*$M$6,0))</f>
        <v>0</v>
      </c>
      <c r="N17" s="42">
        <f>IF(Calcul_Charges[[#This Row],[Sal_Brut]]&gt;2400000,(2400000-800001)*$N$6,IF(Calcul_Charges[[#This Row],[Sal_Brut]]&gt;800001,(Calcul_Charges[[#This Row],[Sal_Brut]]-800001)*$N$6,0))</f>
        <v>0</v>
      </c>
      <c r="O17" s="42">
        <f>IF(Calcul_Charges[[#This Row],[Sal_Brut]]&gt;8000000,(8000000-2400001)*$O$6,IF(Calcul_Charges[[#This Row],[Sal_Brut]]&gt;2400001,(Calcul_Charges[[#This Row],[Sal_Brut]]-2400001)*$O$6,0))</f>
        <v>0</v>
      </c>
      <c r="P17" s="42">
        <f>IF(Calcul_Charges[[#This Row],[Sal_Brut]]&gt;8000001,(Calcul_Charges[[#This Row],[Sal_Brut]]-8000001)*$P$6,0)</f>
        <v>0</v>
      </c>
      <c r="Q17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7" s="42">
        <f>+Calcul_Charges[[#This Row],[Sal_Brut]]*6.3%</f>
        <v>0</v>
      </c>
      <c r="S17" s="41">
        <f>IF(ISBLANK(Calcul_Charges[[#This Row],[Sal_Brut]]),0,1500)</f>
        <v>0</v>
      </c>
      <c r="T17" s="42">
        <f>+Calcul_Charges[[#This Row],[Sal_Brut]]*7.7%</f>
        <v>0</v>
      </c>
      <c r="U17" s="42">
        <f>IF(ISBLANK(Calcul_Charges[[#This Row],[Sal_Brut]]),0,1500)</f>
        <v>0</v>
      </c>
      <c r="V17" s="42">
        <f>+Calcul_Charges[[#This Row],[Sal_Brut]]*$V$6</f>
        <v>0</v>
      </c>
      <c r="W17" s="42">
        <f>Calcul_Charges[[#This Row],[Sal_Brut]]*$W$6</f>
        <v>0</v>
      </c>
      <c r="X17" s="42">
        <f>Calcul_Charges[[#This Row],[Sal_Brut]]*$X$6</f>
        <v>0</v>
      </c>
      <c r="Y17" s="42">
        <f>Calcul_Charges[[#This Row],[Sal_Brut]]*$Y$6</f>
        <v>0</v>
      </c>
    </row>
    <row r="18" spans="1:25" x14ac:dyDescent="0.3">
      <c r="A18" s="26">
        <v>11</v>
      </c>
      <c r="B18" s="27"/>
      <c r="C18" s="27"/>
      <c r="D18" s="27"/>
      <c r="E18" s="28"/>
      <c r="F18" s="27"/>
      <c r="G18" s="42"/>
      <c r="H18" s="42"/>
      <c r="I18" s="42"/>
      <c r="J18" s="42"/>
      <c r="K18" s="42">
        <f>IF(Calcul_Charges[[#This Row],[Sal_Brut]]&lt;75000,Calcul_Charges[[#This Row],[Sal_Brut]]*$K$6,0)</f>
        <v>0</v>
      </c>
      <c r="L18" s="42" t="str">
        <f>IF(Calcul_Charges[[#This Row],[Sal_Brut]]="","",IF(Calcul_Charges[[#This Row],[Sal_Brut]]&gt;240000,(240000-75001)*$L$6,(Calcul_Charges[[#This Row],[Sal_Brut]]-75001)*$L$6))</f>
        <v/>
      </c>
      <c r="M18" s="42">
        <f>IF(Calcul_Charges[[#This Row],[Sal_Brut]]&gt;800000,(800000-240001)*$M$6,IF(Calcul_Charges[[#This Row],[Sal_Brut]]&gt;240001,(Calcul_Charges[[#This Row],[Sal_Brut]]-240001)*$M$6,0))</f>
        <v>0</v>
      </c>
      <c r="N18" s="42">
        <f>IF(Calcul_Charges[[#This Row],[Sal_Brut]]&gt;2400000,(2400000-800001)*$N$6,IF(Calcul_Charges[[#This Row],[Sal_Brut]]&gt;800001,(Calcul_Charges[[#This Row],[Sal_Brut]]-800001)*$N$6,0))</f>
        <v>0</v>
      </c>
      <c r="O18" s="42">
        <f>IF(Calcul_Charges[[#This Row],[Sal_Brut]]&gt;8000000,(8000000-2400001)*$O$6,IF(Calcul_Charges[[#This Row],[Sal_Brut]]&gt;2400001,(Calcul_Charges[[#This Row],[Sal_Brut]]-2400001)*$O$6,0))</f>
        <v>0</v>
      </c>
      <c r="P18" s="42">
        <f>IF(Calcul_Charges[[#This Row],[Sal_Brut]]&gt;8000001,(Calcul_Charges[[#This Row],[Sal_Brut]]-8000001)*$P$6,0)</f>
        <v>0</v>
      </c>
      <c r="Q18" s="42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8" s="42">
        <f>+Calcul_Charges[[#This Row],[Sal_Brut]]*6.3%</f>
        <v>0</v>
      </c>
      <c r="S18" s="41">
        <f>IF(ISBLANK(Calcul_Charges[[#This Row],[Sal_Brut]]),0,1500)</f>
        <v>0</v>
      </c>
      <c r="T18" s="42">
        <f>+Calcul_Charges[[#This Row],[Sal_Brut]]*7.7%</f>
        <v>0</v>
      </c>
      <c r="U18" s="42">
        <f>IF(ISBLANK(Calcul_Charges[[#This Row],[Sal_Brut]]),0,1500)</f>
        <v>0</v>
      </c>
      <c r="V18" s="42">
        <f>+Calcul_Charges[[#This Row],[Sal_Brut]]*$V$6</f>
        <v>0</v>
      </c>
      <c r="W18" s="42">
        <f>Calcul_Charges[[#This Row],[Sal_Brut]]*$W$6</f>
        <v>0</v>
      </c>
      <c r="X18" s="42">
        <f>Calcul_Charges[[#This Row],[Sal_Brut]]*$X$6</f>
        <v>0</v>
      </c>
      <c r="Y18" s="42">
        <f>Calcul_Charges[[#This Row],[Sal_Brut]]*$Y$6</f>
        <v>0</v>
      </c>
    </row>
    <row r="19" spans="1:25" x14ac:dyDescent="0.3">
      <c r="A19" s="30">
        <v>12</v>
      </c>
      <c r="B19" s="31"/>
      <c r="C19" s="31"/>
      <c r="D19" s="31"/>
      <c r="E19" s="32"/>
      <c r="F19" s="31"/>
      <c r="G19" s="43"/>
      <c r="H19" s="43"/>
      <c r="I19" s="43"/>
      <c r="J19" s="43"/>
      <c r="K19" s="43">
        <f>IF(Calcul_Charges[[#This Row],[Sal_Brut]]&lt;75000,Calcul_Charges[[#This Row],[Sal_Brut]]*$K$6,0)</f>
        <v>0</v>
      </c>
      <c r="L19" s="43" t="str">
        <f>IF(Calcul_Charges[[#This Row],[Sal_Brut]]="","",IF(Calcul_Charges[[#This Row],[Sal_Brut]]&gt;240000,(240000-75001)*$L$6,(Calcul_Charges[[#This Row],[Sal_Brut]]-75001)*$L$6))</f>
        <v/>
      </c>
      <c r="M19" s="43">
        <f>IF(Calcul_Charges[[#This Row],[Sal_Brut]]&gt;800000,(800000-240001)*$M$6,IF(Calcul_Charges[[#This Row],[Sal_Brut]]&gt;240001,(Calcul_Charges[[#This Row],[Sal_Brut]]-240001)*$M$6,0))</f>
        <v>0</v>
      </c>
      <c r="N19" s="43">
        <f>IF(Calcul_Charges[[#This Row],[Sal_Brut]]&gt;2400000,(2400000-800001)*$N$6,IF(Calcul_Charges[[#This Row],[Sal_Brut]]&gt;800001,(Calcul_Charges[[#This Row],[Sal_Brut]]-800001)*$N$6,0))</f>
        <v>0</v>
      </c>
      <c r="O19" s="43">
        <f>IF(Calcul_Charges[[#This Row],[Sal_Brut]]&gt;8000000,(8000000-2400001)*$O$6,IF(Calcul_Charges[[#This Row],[Sal_Brut]]&gt;2400001,(Calcul_Charges[[#This Row],[Sal_Brut]]-2400001)*$O$6,0))</f>
        <v>0</v>
      </c>
      <c r="P19" s="43">
        <f>IF(Calcul_Charges[[#This Row],[Sal_Brut]]&gt;8000001,(Calcul_Charges[[#This Row],[Sal_Brut]]-8000001)*$P$6,0)</f>
        <v>0</v>
      </c>
      <c r="Q19" s="43">
        <f>IF(ISBLANK(Calcul_Charges[[#This Row],[Nombre de parts]]),0,IF(Calcul_Charges[[#This Row],[Nombre de parts]]=5,44000,IF(Calcul_Charges[[#This Row],[Nombre de parts]]=4.5,38500,IF(Calcul_Charges[[#This Row],[Nombre de parts]]=4,33000,IF(Calcul_Charges[[#This Row],[Nombre de parts]]=3.5,27500,IF(Calcul_Charges[[#This Row],[Nombre de parts]]=3,22000,IF(Calcul_Charges[[#This Row],[Nombre de parts]]=2.5,16500,IF(Calcul_Charges[[#This Row],[Nombre de parts]]=2,11000,IF(Calcul_Charges[[#This Row],[Nombre de parts]]=1.5,5500,0))))))))+5500)</f>
        <v>0</v>
      </c>
      <c r="R19" s="43">
        <f>+Calcul_Charges[[#This Row],[Sal_Brut]]*6.3%</f>
        <v>0</v>
      </c>
      <c r="S19" s="41">
        <f>IF(ISBLANK(Calcul_Charges[[#This Row],[Sal_Brut]]),0,1500)</f>
        <v>0</v>
      </c>
      <c r="T19" s="43">
        <f>+Calcul_Charges[[#This Row],[Sal_Brut]]*7.7%</f>
        <v>0</v>
      </c>
      <c r="U19" s="43">
        <f>IF(ISBLANK(Calcul_Charges[[#This Row],[Sal_Brut]]),0,1500)</f>
        <v>0</v>
      </c>
      <c r="V19" s="43">
        <f>+Calcul_Charges[[#This Row],[Sal_Brut]]*$V$6</f>
        <v>0</v>
      </c>
      <c r="W19" s="43">
        <f>Calcul_Charges[[#This Row],[Sal_Brut]]*$W$6</f>
        <v>0</v>
      </c>
      <c r="X19" s="43">
        <f>Calcul_Charges[[#This Row],[Sal_Brut]]*$X$6</f>
        <v>0</v>
      </c>
      <c r="Y19" s="43">
        <f>Calcul_Charges[[#This Row],[Sal_Brut]]*$Y$6</f>
        <v>0</v>
      </c>
    </row>
    <row r="20" spans="1:25" x14ac:dyDescent="0.3">
      <c r="G20" s="44"/>
      <c r="H20" s="44"/>
      <c r="I20" s="44"/>
      <c r="J20" s="45">
        <f>SUBTOTAL(109,Calcul_Charges[Sal_Brut])</f>
        <v>0</v>
      </c>
      <c r="K20" s="45">
        <f>SUBTOTAL(109,Calcul_Charges[0 à 75000])</f>
        <v>0</v>
      </c>
      <c r="L20" s="45">
        <f>SUBTOTAL(109,Calcul_Charges[75001 à 240000])</f>
        <v>0</v>
      </c>
      <c r="M20" s="45">
        <f>SUBTOTAL(109,Calcul_Charges[240001 à 800000])</f>
        <v>0</v>
      </c>
      <c r="N20" s="45">
        <f>SUBTOTAL(109,Calcul_Charges[800001 à 2400000])</f>
        <v>0</v>
      </c>
      <c r="O20" s="45">
        <f>SUBTOTAL(109,Calcul_Charges[2400001 à 8000000])</f>
        <v>0</v>
      </c>
      <c r="P20" s="45">
        <f>SUBTOTAL(109,Calcul_Charges[&gt;8000000])</f>
        <v>0</v>
      </c>
      <c r="Q20" s="45">
        <f>SUBTOTAL(109,Calcul_Charges[Credit_Impot])</f>
        <v>0</v>
      </c>
      <c r="R20" s="45">
        <f>SUBTOTAL(109,Calcul_Charges[CNPS_Travailleur])</f>
        <v>0</v>
      </c>
      <c r="S20" s="45">
        <f>SUBTOTAL(109,Calcul_Charges[CMU_Travailleur])</f>
        <v>0</v>
      </c>
      <c r="T20" s="45">
        <f>SUBTOTAL(109,Calcul_Charges[CNPS_Employeur])</f>
        <v>0</v>
      </c>
      <c r="U20" s="45">
        <f>SUBTOTAL(109,Calcul_Charges[CMU_Employeur])</f>
        <v>0</v>
      </c>
      <c r="V20" s="45">
        <f>SUBTOTAL(109,Calcul_Charges[Taxe apprentissage])</f>
        <v>0</v>
      </c>
      <c r="W20" s="45">
        <f>SUBTOTAL(109,Calcul_Charges[Taxe FPC])</f>
        <v>0</v>
      </c>
      <c r="X20" s="45">
        <f>SUBTOTAL(109,Calcul_Charges[Acc Travail])</f>
        <v>0</v>
      </c>
      <c r="Y20" s="45">
        <f>SUBTOTAL(109,Calcul_Charges[Prest Fam])</f>
        <v>0</v>
      </c>
    </row>
  </sheetData>
  <mergeCells count="1">
    <mergeCell ref="K5:P5"/>
  </mergeCells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Fiche</vt:lpstr>
      <vt:lpstr>Calcul</vt:lpstr>
    </vt:vector>
  </TitlesOfParts>
  <Manager>Luc BOHOULET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Fiche Renseignement Portage Salarial</dc:title>
  <dc:subject>ECT</dc:subject>
  <dc:creator>Luc BOHOULET</dc:creator>
  <cp:keywords>Portage salarial</cp:keywords>
  <cp:lastModifiedBy>Luc BOHOULET</cp:lastModifiedBy>
  <cp:lastPrinted>2025-06-16T16:35:01Z</cp:lastPrinted>
  <dcterms:created xsi:type="dcterms:W3CDTF">2024-10-23T10:08:16Z</dcterms:created>
  <dcterms:modified xsi:type="dcterms:W3CDTF">2025-06-16T16:35:07Z</dcterms:modified>
</cp:coreProperties>
</file>